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activeTab="1"/>
  </bookViews>
  <sheets>
    <sheet name="data" sheetId="1" r:id="rId1"/>
    <sheet name="2026" sheetId="3" r:id="rId2"/>
    <sheet name="ref" sheetId="2" r:id="rId3"/>
  </sheets>
  <calcPr calcId="152511"/>
</workbook>
</file>

<file path=xl/calcChain.xml><?xml version="1.0" encoding="utf-8"?>
<calcChain xmlns="http://schemas.openxmlformats.org/spreadsheetml/2006/main">
  <c r="O63" i="3" l="1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32" i="3"/>
  <c r="O33" i="3"/>
  <c r="O34" i="3"/>
  <c r="O35" i="3"/>
  <c r="O36" i="3"/>
  <c r="O37" i="3"/>
  <c r="O38" i="3"/>
  <c r="O39" i="3"/>
  <c r="O40" i="3"/>
  <c r="O41" i="3"/>
  <c r="O42" i="3"/>
  <c r="O43" i="3"/>
  <c r="O44" i="3"/>
  <c r="O45" i="3"/>
  <c r="O46" i="3"/>
  <c r="O47" i="3"/>
  <c r="O48" i="3"/>
  <c r="O49" i="3"/>
  <c r="O50" i="3"/>
  <c r="O51" i="3"/>
  <c r="O52" i="3"/>
  <c r="O53" i="3"/>
  <c r="O54" i="3"/>
  <c r="O55" i="3"/>
  <c r="O56" i="3"/>
  <c r="O57" i="3"/>
  <c r="O58" i="3"/>
  <c r="O59" i="3"/>
  <c r="O60" i="3"/>
  <c r="O61" i="3"/>
  <c r="O62" i="3"/>
  <c r="O3" i="3"/>
  <c r="P63" i="3"/>
  <c r="N63" i="3"/>
</calcChain>
</file>

<file path=xl/sharedStrings.xml><?xml version="1.0" encoding="utf-8"?>
<sst xmlns="http://schemas.openxmlformats.org/spreadsheetml/2006/main" count="140" uniqueCount="89">
  <si>
    <t>Year</t>
  </si>
  <si>
    <t>Infected</t>
  </si>
  <si>
    <t>data source</t>
  </si>
  <si>
    <t>https://immunizationdata.who.int/global/wiise-detail-page/measles-reported-cases-and-incidence?CODE=BGD&amp;YEAR=</t>
  </si>
  <si>
    <t>death</t>
  </si>
  <si>
    <t>children</t>
  </si>
  <si>
    <t>Age: 0 to 5 years</t>
  </si>
  <si>
    <t>Susceptible</t>
  </si>
  <si>
    <t>Confirmed</t>
  </si>
  <si>
    <t>Hospital</t>
  </si>
  <si>
    <t>Age: 5 to 18 years</t>
  </si>
  <si>
    <t>Adult</t>
  </si>
  <si>
    <t>total</t>
  </si>
  <si>
    <t>Dhaka</t>
  </si>
  <si>
    <t>District</t>
  </si>
  <si>
    <t>Hospital based data</t>
  </si>
  <si>
    <t>infected</t>
  </si>
  <si>
    <t>Info: 9 April</t>
  </si>
  <si>
    <t>Tangail</t>
  </si>
  <si>
    <t>Maymansingh</t>
  </si>
  <si>
    <t>Rajshahi</t>
  </si>
  <si>
    <t>Bagura</t>
  </si>
  <si>
    <t>Chapainabagonj</t>
  </si>
  <si>
    <t>Pabna</t>
  </si>
  <si>
    <t>Natore</t>
  </si>
  <si>
    <t>Naogan</t>
  </si>
  <si>
    <t>Gopalgong</t>
  </si>
  <si>
    <t>Narayangang</t>
  </si>
  <si>
    <t>Barisal</t>
  </si>
  <si>
    <t>Shariyatpur</t>
  </si>
  <si>
    <t>Laxmipur</t>
  </si>
  <si>
    <t>Netrokona</t>
  </si>
  <si>
    <t>Jassore</t>
  </si>
  <si>
    <t>Kustia</t>
  </si>
  <si>
    <t>Rangpur</t>
  </si>
  <si>
    <t>Nilfamari</t>
  </si>
  <si>
    <t>Chottogram</t>
  </si>
  <si>
    <t>Coxsbazar</t>
  </si>
  <si>
    <t>Cumilla</t>
  </si>
  <si>
    <t>Chadpur</t>
  </si>
  <si>
    <t xml:space="preserve">Syhlet </t>
  </si>
  <si>
    <t>Faidpur</t>
  </si>
  <si>
    <t>Manikgang</t>
  </si>
  <si>
    <t>Rajbari</t>
  </si>
  <si>
    <t>Kishorgang</t>
  </si>
  <si>
    <t>Narshindi</t>
  </si>
  <si>
    <t>Sirajgang</t>
  </si>
  <si>
    <t>Gaibanda</t>
  </si>
  <si>
    <t>Thakurgaon</t>
  </si>
  <si>
    <t>Noakhali</t>
  </si>
  <si>
    <t>Feni</t>
  </si>
  <si>
    <t>Khulna</t>
  </si>
  <si>
    <t>Gazipur</t>
  </si>
  <si>
    <t>Jhinadah</t>
  </si>
  <si>
    <t>Magura</t>
  </si>
  <si>
    <t>Satkhira</t>
  </si>
  <si>
    <t>Norail</t>
  </si>
  <si>
    <t>Bagarhat</t>
  </si>
  <si>
    <t>Habigang</t>
  </si>
  <si>
    <t>Sherpur</t>
  </si>
  <si>
    <t>Sunamgang</t>
  </si>
  <si>
    <t>Moulovibazar</t>
  </si>
  <si>
    <t>Bramanbaria</t>
  </si>
  <si>
    <t>Jamalpur</t>
  </si>
  <si>
    <t>Chuyadanga</t>
  </si>
  <si>
    <t>Kurigram</t>
  </si>
  <si>
    <t>Dinajpur</t>
  </si>
  <si>
    <t>Lalmanirhat</t>
  </si>
  <si>
    <t>Jaypurhat</t>
  </si>
  <si>
    <t>Meherpur</t>
  </si>
  <si>
    <t>Potuakhali</t>
  </si>
  <si>
    <t>Pirozpur</t>
  </si>
  <si>
    <t>Jhalkathi</t>
  </si>
  <si>
    <t>Bandarban</t>
  </si>
  <si>
    <t>Rangamati</t>
  </si>
  <si>
    <t>Panchagar</t>
  </si>
  <si>
    <t>Khagrachori</t>
  </si>
  <si>
    <t>Total</t>
  </si>
  <si>
    <t>%</t>
  </si>
  <si>
    <t>Vaccine first dose (%)</t>
  </si>
  <si>
    <t>Vacccine 2nd dose (%)</t>
  </si>
  <si>
    <t>Official Coverage</t>
  </si>
  <si>
    <t>Administritive Coverage</t>
  </si>
  <si>
    <t>-</t>
  </si>
  <si>
    <t>https://immunizationdata.who.int/global/wiise-detail-page/measles-vaccination-coverage?CODE=BGD&amp;ANTIGEN=MCV1&amp;YEAR=</t>
  </si>
  <si>
    <t>https://immunizationdata.who.int/global/wiise-detail-page/measles-vaccination-coverage?CODE=BGD&amp;ANTIGEN=MCV2&amp;YEAR=</t>
  </si>
  <si>
    <t>WHO Coverage</t>
  </si>
  <si>
    <t>Vaccine 2nd dose (%)</t>
  </si>
  <si>
    <t>2nd dose is introduced in 2012 in Bangladesh.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</si>
</sst>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2"/>
      <color theme="1"/>
      <name val="Cambria"/>
      <family val="1"/>
      <scheme val="major"/>
    </font>
    <font>
      <b/>
      <sz val="12"/>
      <color theme="1"/>
      <name val="Cambria"/>
      <family val="1"/>
      <scheme val="maj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rgb="FF424242"/>
      <name val="Times New Roman"/>
      <family val="1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10" fontId="2" fillId="0" borderId="0" xfId="0" applyNumberFormat="1" applyFont="1" applyAlignment="1">
      <alignment horizontal="left"/>
    </xf>
    <xf numFmtId="9" fontId="2" fillId="0" borderId="0" xfId="0" applyNumberFormat="1" applyFont="1" applyAlignment="1">
      <alignment horizontal="left"/>
    </xf>
    <xf numFmtId="16" fontId="2" fillId="0" borderId="0" xfId="0" applyNumberFormat="1" applyFont="1" applyAlignment="1">
      <alignment horizontal="left"/>
    </xf>
    <xf numFmtId="0" fontId="2" fillId="2" borderId="0" xfId="0" applyFont="1" applyFill="1" applyAlignment="1">
      <alignment horizontal="left"/>
    </xf>
    <xf numFmtId="0" fontId="3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5" fontId="4" fillId="2" borderId="0" xfId="0" applyNumberFormat="1" applyFont="1" applyFill="1" applyAlignment="1">
      <alignment horizontal="center"/>
    </xf>
    <xf numFmtId="0" fontId="4" fillId="2" borderId="0" xfId="0" applyFont="1" applyFill="1" applyAlignment="1">
      <alignment horizontal="left"/>
    </xf>
    <xf numFmtId="0" fontId="4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0"/>
  <sheetViews>
    <sheetView zoomScaleNormal="100" workbookViewId="0">
      <selection activeCell="D31" sqref="D31"/>
    </sheetView>
  </sheetViews>
  <sheetFormatPr defaultRowHeight="15.75" x14ac:dyDescent="0.25"/>
  <cols>
    <col min="1" max="1" width="9.140625" style="11"/>
    <col min="2" max="2" width="11.42578125" style="11" customWidth="1"/>
    <col min="3" max="3" width="25.7109375" style="11" customWidth="1"/>
    <col min="4" max="4" width="26.7109375" style="11" customWidth="1"/>
    <col min="5" max="5" width="22.7109375" bestFit="1" customWidth="1"/>
    <col min="6" max="6" width="26.7109375" style="11" customWidth="1"/>
    <col min="7" max="7" width="23.140625" style="11" customWidth="1"/>
    <col min="8" max="8" width="22.7109375" bestFit="1" customWidth="1"/>
    <col min="9" max="16384" width="9.140625" style="11"/>
  </cols>
  <sheetData>
    <row r="1" spans="1:8" x14ac:dyDescent="0.25">
      <c r="C1" s="11" t="s">
        <v>82</v>
      </c>
      <c r="D1" s="11" t="s">
        <v>81</v>
      </c>
      <c r="E1" s="11" t="s">
        <v>86</v>
      </c>
      <c r="F1" s="11" t="s">
        <v>82</v>
      </c>
      <c r="G1" s="11" t="s">
        <v>81</v>
      </c>
      <c r="H1" s="11" t="s">
        <v>86</v>
      </c>
    </row>
    <row r="2" spans="1:8" s="12" customFormat="1" x14ac:dyDescent="0.25">
      <c r="A2" s="12" t="s">
        <v>0</v>
      </c>
      <c r="B2" s="12" t="s">
        <v>1</v>
      </c>
      <c r="C2" s="12" t="s">
        <v>79</v>
      </c>
      <c r="D2" s="12" t="s">
        <v>79</v>
      </c>
      <c r="E2" s="12" t="s">
        <v>79</v>
      </c>
      <c r="F2" s="12" t="s">
        <v>80</v>
      </c>
      <c r="G2" s="12" t="s">
        <v>80</v>
      </c>
      <c r="H2" s="12" t="s">
        <v>87</v>
      </c>
    </row>
    <row r="3" spans="1:8" x14ac:dyDescent="0.25">
      <c r="A3" s="11">
        <v>2000</v>
      </c>
      <c r="B3" s="11">
        <v>5098</v>
      </c>
      <c r="C3" s="13">
        <v>89</v>
      </c>
      <c r="D3" s="11">
        <v>61</v>
      </c>
      <c r="E3" s="11">
        <v>74</v>
      </c>
      <c r="F3" s="11" t="s">
        <v>83</v>
      </c>
      <c r="G3" s="11" t="s">
        <v>83</v>
      </c>
      <c r="H3" s="11" t="s">
        <v>83</v>
      </c>
    </row>
    <row r="4" spans="1:8" x14ac:dyDescent="0.25">
      <c r="A4" s="11">
        <v>2001</v>
      </c>
      <c r="B4" s="11">
        <v>4414</v>
      </c>
      <c r="C4" s="13">
        <v>94</v>
      </c>
      <c r="D4" s="11">
        <v>64</v>
      </c>
      <c r="E4" s="11">
        <v>77</v>
      </c>
      <c r="F4" s="11" t="s">
        <v>83</v>
      </c>
      <c r="G4" s="11" t="s">
        <v>83</v>
      </c>
      <c r="H4" s="11" t="s">
        <v>83</v>
      </c>
    </row>
    <row r="5" spans="1:8" x14ac:dyDescent="0.25">
      <c r="A5" s="11">
        <v>2002</v>
      </c>
      <c r="B5" s="11">
        <v>3484</v>
      </c>
      <c r="C5" s="13">
        <v>87</v>
      </c>
      <c r="D5" s="11">
        <v>65</v>
      </c>
      <c r="E5" s="11">
        <v>75</v>
      </c>
      <c r="F5" s="11" t="s">
        <v>83</v>
      </c>
      <c r="G5" s="11" t="s">
        <v>83</v>
      </c>
      <c r="H5" s="11" t="s">
        <v>83</v>
      </c>
    </row>
    <row r="6" spans="1:8" x14ac:dyDescent="0.25">
      <c r="A6" s="11">
        <v>2003</v>
      </c>
      <c r="B6" s="11">
        <v>4067</v>
      </c>
      <c r="C6" s="13">
        <v>91</v>
      </c>
      <c r="D6" s="11">
        <v>69</v>
      </c>
      <c r="E6" s="11">
        <v>76</v>
      </c>
      <c r="F6" s="11" t="s">
        <v>83</v>
      </c>
      <c r="G6" s="11" t="s">
        <v>83</v>
      </c>
      <c r="H6" s="11" t="s">
        <v>83</v>
      </c>
    </row>
    <row r="7" spans="1:8" x14ac:dyDescent="0.25">
      <c r="A7" s="11">
        <v>2004</v>
      </c>
      <c r="B7" s="11">
        <v>9743</v>
      </c>
      <c r="C7" s="13">
        <v>96</v>
      </c>
      <c r="D7" s="11">
        <v>96</v>
      </c>
      <c r="E7" s="11">
        <v>81</v>
      </c>
      <c r="F7" s="11" t="s">
        <v>83</v>
      </c>
      <c r="G7" s="11" t="s">
        <v>83</v>
      </c>
      <c r="H7" s="11" t="s">
        <v>83</v>
      </c>
    </row>
    <row r="8" spans="1:8" x14ac:dyDescent="0.25">
      <c r="A8" s="11">
        <v>2005</v>
      </c>
      <c r="B8" s="11">
        <v>25934</v>
      </c>
      <c r="C8" s="13">
        <v>94</v>
      </c>
      <c r="D8" s="11">
        <v>78</v>
      </c>
      <c r="E8" s="11">
        <v>88</v>
      </c>
      <c r="F8" s="11" t="s">
        <v>83</v>
      </c>
      <c r="G8" s="11" t="s">
        <v>83</v>
      </c>
      <c r="H8" s="11" t="s">
        <v>83</v>
      </c>
    </row>
    <row r="9" spans="1:8" x14ac:dyDescent="0.25">
      <c r="A9" s="11">
        <v>2006</v>
      </c>
      <c r="B9" s="11">
        <v>6192</v>
      </c>
      <c r="C9" s="13">
        <v>92</v>
      </c>
      <c r="D9" s="11">
        <v>84</v>
      </c>
      <c r="E9" s="11">
        <v>83</v>
      </c>
      <c r="F9" s="11" t="s">
        <v>83</v>
      </c>
      <c r="G9" s="11" t="s">
        <v>83</v>
      </c>
      <c r="H9" s="11" t="s">
        <v>83</v>
      </c>
    </row>
    <row r="10" spans="1:8" x14ac:dyDescent="0.25">
      <c r="A10" s="11">
        <v>2007</v>
      </c>
      <c r="B10" s="11">
        <v>2924</v>
      </c>
      <c r="C10" s="13">
        <v>95</v>
      </c>
      <c r="D10" s="11">
        <v>85</v>
      </c>
      <c r="E10" s="11">
        <v>89</v>
      </c>
      <c r="F10" s="11" t="s">
        <v>83</v>
      </c>
      <c r="G10" s="11" t="s">
        <v>83</v>
      </c>
      <c r="H10" s="11" t="s">
        <v>83</v>
      </c>
    </row>
    <row r="11" spans="1:8" x14ac:dyDescent="0.25">
      <c r="A11" s="11">
        <v>2008</v>
      </c>
      <c r="B11" s="11">
        <v>2660</v>
      </c>
      <c r="C11" s="13">
        <v>96</v>
      </c>
      <c r="D11" s="11">
        <v>85</v>
      </c>
      <c r="E11" s="11">
        <v>92</v>
      </c>
      <c r="F11" s="11" t="s">
        <v>83</v>
      </c>
      <c r="G11" s="11" t="s">
        <v>83</v>
      </c>
      <c r="H11" s="11" t="s">
        <v>83</v>
      </c>
    </row>
    <row r="12" spans="1:8" x14ac:dyDescent="0.25">
      <c r="A12" s="11">
        <v>2009</v>
      </c>
      <c r="B12" s="11">
        <v>718</v>
      </c>
      <c r="C12" s="13">
        <v>98.39</v>
      </c>
      <c r="D12" s="11">
        <v>87.8</v>
      </c>
      <c r="E12" s="11">
        <v>93</v>
      </c>
      <c r="F12" s="11" t="s">
        <v>83</v>
      </c>
      <c r="G12" s="11" t="s">
        <v>83</v>
      </c>
      <c r="H12" s="11" t="s">
        <v>83</v>
      </c>
    </row>
    <row r="13" spans="1:8" x14ac:dyDescent="0.25">
      <c r="A13" s="11">
        <v>2010</v>
      </c>
      <c r="B13" s="11">
        <v>788</v>
      </c>
      <c r="C13" s="13">
        <v>94.3</v>
      </c>
      <c r="D13" s="11">
        <v>89</v>
      </c>
      <c r="E13" s="11">
        <v>88</v>
      </c>
      <c r="F13" s="11" t="s">
        <v>83</v>
      </c>
      <c r="G13" s="11" t="s">
        <v>83</v>
      </c>
      <c r="H13" s="11" t="s">
        <v>83</v>
      </c>
    </row>
    <row r="14" spans="1:8" x14ac:dyDescent="0.25">
      <c r="A14" s="11">
        <v>2011</v>
      </c>
      <c r="B14" s="11">
        <v>5625</v>
      </c>
      <c r="C14" s="13">
        <v>96</v>
      </c>
      <c r="D14" s="11">
        <v>86</v>
      </c>
      <c r="E14" s="11">
        <v>93</v>
      </c>
      <c r="F14" s="11" t="s">
        <v>83</v>
      </c>
      <c r="G14" s="11" t="s">
        <v>83</v>
      </c>
      <c r="H14" s="11" t="s">
        <v>83</v>
      </c>
    </row>
    <row r="15" spans="1:8" x14ac:dyDescent="0.25">
      <c r="A15" s="11">
        <v>2012</v>
      </c>
      <c r="B15" s="11">
        <v>1986</v>
      </c>
      <c r="C15" s="13">
        <v>111</v>
      </c>
      <c r="D15" s="11">
        <v>89</v>
      </c>
      <c r="E15" s="11">
        <v>88</v>
      </c>
      <c r="F15" s="11">
        <v>22</v>
      </c>
      <c r="G15" s="11">
        <v>22</v>
      </c>
      <c r="H15" s="11">
        <v>41</v>
      </c>
    </row>
    <row r="16" spans="1:8" x14ac:dyDescent="0.25">
      <c r="A16" s="11">
        <v>2013</v>
      </c>
      <c r="B16" s="11">
        <v>237</v>
      </c>
      <c r="C16" s="13">
        <v>108.28</v>
      </c>
      <c r="D16" s="11">
        <v>88.7</v>
      </c>
      <c r="E16" s="11">
        <v>91</v>
      </c>
      <c r="F16" s="11">
        <v>98.66</v>
      </c>
      <c r="G16" s="11" t="s">
        <v>83</v>
      </c>
      <c r="H16" s="11">
        <v>82</v>
      </c>
    </row>
    <row r="17" spans="1:8" x14ac:dyDescent="0.25">
      <c r="A17" s="11">
        <v>2014</v>
      </c>
      <c r="B17" s="11">
        <v>289</v>
      </c>
      <c r="C17" s="13">
        <v>108.55</v>
      </c>
      <c r="D17" s="11">
        <v>90.1</v>
      </c>
      <c r="E17" s="11">
        <v>94</v>
      </c>
      <c r="F17" s="13">
        <v>104.31</v>
      </c>
      <c r="G17" s="13">
        <v>70.400000000000006</v>
      </c>
      <c r="H17" s="13">
        <v>89</v>
      </c>
    </row>
    <row r="18" spans="1:8" x14ac:dyDescent="0.25">
      <c r="A18" s="11">
        <v>2015</v>
      </c>
      <c r="B18" s="11">
        <v>240</v>
      </c>
      <c r="C18" s="13">
        <v>120.19</v>
      </c>
      <c r="D18" s="11">
        <v>90.1</v>
      </c>
      <c r="E18" s="11">
        <v>97</v>
      </c>
      <c r="F18" s="13">
        <v>114.89</v>
      </c>
      <c r="G18" s="13">
        <v>70.400000000000006</v>
      </c>
      <c r="H18" s="13">
        <v>90</v>
      </c>
    </row>
    <row r="19" spans="1:8" x14ac:dyDescent="0.25">
      <c r="A19" s="11">
        <v>2016</v>
      </c>
      <c r="B19" s="11">
        <v>972</v>
      </c>
      <c r="C19" s="13">
        <v>117.84</v>
      </c>
      <c r="D19" s="11">
        <v>81.7</v>
      </c>
      <c r="E19" s="11">
        <v>97</v>
      </c>
      <c r="F19" s="13">
        <v>115.15</v>
      </c>
      <c r="G19" s="13">
        <v>80.5</v>
      </c>
      <c r="H19" s="13">
        <v>92</v>
      </c>
    </row>
    <row r="20" spans="1:8" x14ac:dyDescent="0.25">
      <c r="A20" s="11">
        <v>2017</v>
      </c>
      <c r="B20" s="14">
        <v>4001</v>
      </c>
      <c r="C20" s="13">
        <v>116</v>
      </c>
      <c r="D20" s="11">
        <v>92</v>
      </c>
      <c r="E20" s="11">
        <v>97</v>
      </c>
      <c r="F20" s="13">
        <v>114</v>
      </c>
      <c r="G20" s="13">
        <v>83</v>
      </c>
      <c r="H20" s="13">
        <v>93</v>
      </c>
    </row>
    <row r="21" spans="1:8" x14ac:dyDescent="0.25">
      <c r="A21" s="11">
        <v>2018</v>
      </c>
      <c r="B21" s="14">
        <v>2263</v>
      </c>
      <c r="C21" s="13">
        <v>115.41</v>
      </c>
      <c r="D21" s="11">
        <v>92</v>
      </c>
      <c r="E21" s="11">
        <v>97</v>
      </c>
      <c r="F21" s="13">
        <v>113.12</v>
      </c>
      <c r="G21" s="13">
        <v>83</v>
      </c>
      <c r="H21" s="13">
        <v>93</v>
      </c>
    </row>
    <row r="22" spans="1:8" x14ac:dyDescent="0.25">
      <c r="A22" s="11">
        <v>2019</v>
      </c>
      <c r="B22" s="14">
        <v>5827</v>
      </c>
      <c r="C22" s="13">
        <v>117.2</v>
      </c>
      <c r="D22" s="11">
        <v>92.8</v>
      </c>
      <c r="E22" s="11">
        <v>97</v>
      </c>
      <c r="F22" s="13">
        <v>114.81</v>
      </c>
      <c r="G22" s="13">
        <v>89</v>
      </c>
      <c r="H22" s="13">
        <v>93</v>
      </c>
    </row>
    <row r="23" spans="1:8" x14ac:dyDescent="0.25">
      <c r="A23" s="11">
        <v>2020</v>
      </c>
      <c r="B23" s="11">
        <v>2410</v>
      </c>
      <c r="C23" s="13">
        <v>108.43</v>
      </c>
      <c r="D23" s="11">
        <v>92.8</v>
      </c>
      <c r="E23" s="11">
        <v>97</v>
      </c>
      <c r="F23" s="13">
        <v>106.95</v>
      </c>
      <c r="G23" s="13">
        <v>89</v>
      </c>
      <c r="H23" s="13">
        <v>93</v>
      </c>
    </row>
    <row r="24" spans="1:8" x14ac:dyDescent="0.25">
      <c r="A24" s="11">
        <v>2021</v>
      </c>
      <c r="B24" s="11">
        <v>208</v>
      </c>
      <c r="C24" s="13">
        <v>117.86</v>
      </c>
      <c r="D24" s="11">
        <v>92.8</v>
      </c>
      <c r="E24" s="11">
        <v>97</v>
      </c>
      <c r="F24" s="13">
        <v>114.99</v>
      </c>
      <c r="G24" s="13">
        <v>89</v>
      </c>
      <c r="H24" s="13">
        <v>93</v>
      </c>
    </row>
    <row r="25" spans="1:8" x14ac:dyDescent="0.25">
      <c r="A25" s="11">
        <v>2022</v>
      </c>
      <c r="B25" s="11">
        <v>311</v>
      </c>
      <c r="C25" s="13">
        <v>119.65</v>
      </c>
      <c r="D25" s="11" t="s">
        <v>83</v>
      </c>
      <c r="E25" s="11">
        <v>96</v>
      </c>
      <c r="F25" s="13">
        <v>116.49</v>
      </c>
      <c r="G25" s="11" t="s">
        <v>83</v>
      </c>
      <c r="H25" s="11">
        <v>93</v>
      </c>
    </row>
    <row r="26" spans="1:8" x14ac:dyDescent="0.25">
      <c r="A26" s="11">
        <v>2023</v>
      </c>
      <c r="B26" s="11">
        <v>281</v>
      </c>
      <c r="C26" s="13">
        <v>125.3</v>
      </c>
      <c r="D26" s="11">
        <v>88.6</v>
      </c>
      <c r="E26" s="11">
        <v>96</v>
      </c>
      <c r="F26" s="13">
        <v>122.9</v>
      </c>
      <c r="G26" s="13">
        <v>89.1</v>
      </c>
      <c r="H26" s="13">
        <v>93</v>
      </c>
    </row>
    <row r="27" spans="1:8" x14ac:dyDescent="0.25">
      <c r="A27" s="11">
        <v>2024</v>
      </c>
      <c r="B27" s="11">
        <v>247</v>
      </c>
      <c r="C27" s="13">
        <v>123.51</v>
      </c>
      <c r="D27" s="11">
        <v>86.1</v>
      </c>
      <c r="E27" s="11">
        <v>96</v>
      </c>
      <c r="F27" s="13">
        <v>121.38</v>
      </c>
      <c r="G27" s="13">
        <v>80.7</v>
      </c>
      <c r="H27" s="13">
        <v>93</v>
      </c>
    </row>
    <row r="28" spans="1:8" x14ac:dyDescent="0.25">
      <c r="A28" s="11">
        <v>2025</v>
      </c>
      <c r="B28" s="11">
        <v>125</v>
      </c>
      <c r="C28" s="11" t="s">
        <v>83</v>
      </c>
      <c r="D28" s="11">
        <v>59.6</v>
      </c>
      <c r="E28" s="11" t="s">
        <v>83</v>
      </c>
      <c r="F28" s="11" t="s">
        <v>83</v>
      </c>
      <c r="G28" s="11" t="s">
        <v>83</v>
      </c>
      <c r="H28" s="11" t="s">
        <v>83</v>
      </c>
    </row>
    <row r="29" spans="1:8" x14ac:dyDescent="0.25">
      <c r="A29" s="11">
        <v>2026</v>
      </c>
      <c r="B29" s="15">
        <v>12320</v>
      </c>
      <c r="E29" s="2"/>
      <c r="H29" s="2"/>
    </row>
    <row r="30" spans="1:8" x14ac:dyDescent="0.25">
      <c r="B30" s="16">
        <v>46121</v>
      </c>
      <c r="F30" s="17" t="s">
        <v>88</v>
      </c>
      <c r="G30" s="18"/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3"/>
  <sheetViews>
    <sheetView tabSelected="1" workbookViewId="0">
      <selection activeCell="H2" sqref="H2:K6"/>
    </sheetView>
  </sheetViews>
  <sheetFormatPr defaultRowHeight="15.75" x14ac:dyDescent="0.25"/>
  <cols>
    <col min="1" max="1" width="16.7109375" style="3" customWidth="1"/>
    <col min="2" max="2" width="12.85546875" style="3" customWidth="1"/>
    <col min="3" max="3" width="11.42578125" style="3" customWidth="1"/>
    <col min="4" max="12" width="9.140625" style="3"/>
    <col min="13" max="13" width="18.28515625" style="3" customWidth="1"/>
    <col min="14" max="16384" width="9.140625" style="3"/>
  </cols>
  <sheetData>
    <row r="1" spans="1:17" x14ac:dyDescent="0.25">
      <c r="A1" s="9" t="s">
        <v>4</v>
      </c>
      <c r="B1" s="5">
        <v>0.92859999999999998</v>
      </c>
      <c r="C1" s="3" t="s">
        <v>5</v>
      </c>
      <c r="F1" s="4" t="s">
        <v>17</v>
      </c>
      <c r="M1" s="4" t="s">
        <v>15</v>
      </c>
      <c r="N1" s="4"/>
      <c r="O1" s="4"/>
      <c r="Q1" s="7">
        <v>46120</v>
      </c>
    </row>
    <row r="2" spans="1:17" x14ac:dyDescent="0.25">
      <c r="A2" s="10"/>
      <c r="B2" s="6">
        <v>0.71</v>
      </c>
      <c r="C2" s="3" t="s">
        <v>6</v>
      </c>
      <c r="H2" s="4"/>
      <c r="I2" s="4"/>
      <c r="M2" s="4" t="s">
        <v>14</v>
      </c>
      <c r="N2" s="4" t="s">
        <v>16</v>
      </c>
      <c r="O2" s="4" t="s">
        <v>78</v>
      </c>
      <c r="P2" s="4" t="s">
        <v>4</v>
      </c>
    </row>
    <row r="3" spans="1:17" x14ac:dyDescent="0.25">
      <c r="A3" s="10"/>
      <c r="B3" s="5">
        <v>0.12</v>
      </c>
      <c r="C3" s="3" t="s">
        <v>10</v>
      </c>
      <c r="M3" s="3" t="s">
        <v>18</v>
      </c>
      <c r="N3" s="3">
        <v>23</v>
      </c>
      <c r="O3" s="3">
        <f>N3*100/$N$63</f>
        <v>0.20334187958624347</v>
      </c>
      <c r="P3" s="3">
        <v>2</v>
      </c>
    </row>
    <row r="4" spans="1:17" x14ac:dyDescent="0.25">
      <c r="A4" s="10"/>
      <c r="B4" s="6">
        <v>0.17</v>
      </c>
      <c r="C4" s="3" t="s">
        <v>11</v>
      </c>
      <c r="M4" s="3" t="s">
        <v>19</v>
      </c>
      <c r="N4" s="3">
        <v>210</v>
      </c>
      <c r="O4" s="3">
        <f t="shared" ref="O4:O62" si="0">N4*100/$N$63</f>
        <v>1.8565997701352666</v>
      </c>
      <c r="P4" s="3">
        <v>7</v>
      </c>
    </row>
    <row r="5" spans="1:17" x14ac:dyDescent="0.25">
      <c r="A5" s="10"/>
      <c r="B5" s="8">
        <v>166</v>
      </c>
      <c r="C5" s="3" t="s">
        <v>12</v>
      </c>
      <c r="M5" s="3" t="s">
        <v>20</v>
      </c>
      <c r="N5" s="3">
        <v>1197</v>
      </c>
      <c r="O5" s="3">
        <f t="shared" si="0"/>
        <v>10.582618689771019</v>
      </c>
      <c r="P5" s="3">
        <v>11</v>
      </c>
    </row>
    <row r="6" spans="1:17" x14ac:dyDescent="0.25">
      <c r="M6" s="3" t="s">
        <v>21</v>
      </c>
      <c r="N6" s="3">
        <v>36</v>
      </c>
      <c r="O6" s="3">
        <f t="shared" si="0"/>
        <v>0.31827424630890283</v>
      </c>
      <c r="P6" s="3">
        <v>1</v>
      </c>
    </row>
    <row r="7" spans="1:17" x14ac:dyDescent="0.25">
      <c r="A7" s="3" t="s">
        <v>7</v>
      </c>
      <c r="B7" s="8">
        <v>12320</v>
      </c>
      <c r="M7" s="3" t="s">
        <v>22</v>
      </c>
      <c r="N7" s="3">
        <v>364</v>
      </c>
      <c r="O7" s="3">
        <f t="shared" si="0"/>
        <v>3.2181062682344619</v>
      </c>
      <c r="P7" s="3">
        <v>5</v>
      </c>
    </row>
    <row r="8" spans="1:17" x14ac:dyDescent="0.25">
      <c r="A8" s="3" t="s">
        <v>8</v>
      </c>
      <c r="B8" s="3">
        <v>2241</v>
      </c>
      <c r="M8" s="3" t="s">
        <v>23</v>
      </c>
      <c r="N8" s="3">
        <v>41</v>
      </c>
      <c r="O8" s="3">
        <f t="shared" si="0"/>
        <v>0.36247900274069489</v>
      </c>
      <c r="P8" s="3">
        <v>0</v>
      </c>
    </row>
    <row r="9" spans="1:17" x14ac:dyDescent="0.25">
      <c r="A9" s="3" t="s">
        <v>9</v>
      </c>
      <c r="B9" s="8">
        <v>6883</v>
      </c>
      <c r="M9" s="3" t="s">
        <v>24</v>
      </c>
      <c r="N9" s="3">
        <v>49</v>
      </c>
      <c r="O9" s="3">
        <f t="shared" si="0"/>
        <v>0.43320661303156222</v>
      </c>
      <c r="P9" s="3">
        <v>1</v>
      </c>
    </row>
    <row r="10" spans="1:17" x14ac:dyDescent="0.25">
      <c r="M10" s="3" t="s">
        <v>25</v>
      </c>
      <c r="N10" s="3">
        <v>2</v>
      </c>
      <c r="O10" s="3">
        <f t="shared" si="0"/>
        <v>1.7681902572716825E-2</v>
      </c>
      <c r="P10" s="3">
        <v>1</v>
      </c>
    </row>
    <row r="11" spans="1:17" x14ac:dyDescent="0.25">
      <c r="M11" s="3" t="s">
        <v>26</v>
      </c>
      <c r="N11" s="3">
        <v>91</v>
      </c>
      <c r="O11" s="3">
        <f t="shared" si="0"/>
        <v>0.80452656705861547</v>
      </c>
      <c r="P11" s="3">
        <v>1</v>
      </c>
    </row>
    <row r="12" spans="1:17" x14ac:dyDescent="0.25">
      <c r="M12" s="3" t="s">
        <v>27</v>
      </c>
      <c r="N12" s="3">
        <v>9</v>
      </c>
      <c r="O12" s="3">
        <f t="shared" si="0"/>
        <v>7.9568561577225708E-2</v>
      </c>
      <c r="P12" s="3">
        <v>2</v>
      </c>
    </row>
    <row r="13" spans="1:17" x14ac:dyDescent="0.25">
      <c r="M13" s="3" t="s">
        <v>28</v>
      </c>
      <c r="N13" s="3">
        <v>1080</v>
      </c>
      <c r="O13" s="3">
        <f t="shared" si="0"/>
        <v>9.548227389267085</v>
      </c>
      <c r="P13" s="3">
        <v>12</v>
      </c>
    </row>
    <row r="14" spans="1:17" x14ac:dyDescent="0.25">
      <c r="M14" s="3" t="s">
        <v>29</v>
      </c>
      <c r="N14" s="3">
        <v>24</v>
      </c>
      <c r="O14" s="3">
        <f t="shared" si="0"/>
        <v>0.2121828308726019</v>
      </c>
      <c r="P14" s="3">
        <v>2</v>
      </c>
    </row>
    <row r="15" spans="1:17" x14ac:dyDescent="0.25">
      <c r="M15" s="3" t="s">
        <v>30</v>
      </c>
      <c r="N15" s="3">
        <v>4</v>
      </c>
      <c r="O15" s="3">
        <f t="shared" si="0"/>
        <v>3.5363805145433649E-2</v>
      </c>
      <c r="P15" s="3">
        <v>1</v>
      </c>
    </row>
    <row r="16" spans="1:17" x14ac:dyDescent="0.25">
      <c r="M16" s="3" t="s">
        <v>31</v>
      </c>
      <c r="N16" s="3">
        <v>39</v>
      </c>
      <c r="O16" s="3">
        <f t="shared" si="0"/>
        <v>0.3447971001679781</v>
      </c>
      <c r="P16" s="3">
        <v>1</v>
      </c>
    </row>
    <row r="17" spans="13:16" x14ac:dyDescent="0.25">
      <c r="M17" s="3" t="s">
        <v>32</v>
      </c>
      <c r="N17" s="3">
        <v>38</v>
      </c>
      <c r="O17" s="3">
        <f t="shared" si="0"/>
        <v>0.33595614888161968</v>
      </c>
      <c r="P17" s="3">
        <v>13</v>
      </c>
    </row>
    <row r="18" spans="13:16" x14ac:dyDescent="0.25">
      <c r="M18" s="3" t="s">
        <v>33</v>
      </c>
      <c r="N18" s="3">
        <v>284</v>
      </c>
      <c r="O18" s="3">
        <f t="shared" si="0"/>
        <v>2.510830165325789</v>
      </c>
      <c r="P18" s="3">
        <v>1</v>
      </c>
    </row>
    <row r="19" spans="13:16" x14ac:dyDescent="0.25">
      <c r="M19" s="3" t="s">
        <v>34</v>
      </c>
      <c r="N19" s="3">
        <v>368</v>
      </c>
      <c r="O19" s="3">
        <f t="shared" si="0"/>
        <v>3.2534700733798956</v>
      </c>
      <c r="P19" s="3">
        <v>16</v>
      </c>
    </row>
    <row r="20" spans="13:16" x14ac:dyDescent="0.25">
      <c r="M20" s="3" t="s">
        <v>35</v>
      </c>
      <c r="N20" s="3">
        <v>6</v>
      </c>
      <c r="O20" s="3">
        <f t="shared" si="0"/>
        <v>5.3045707718150474E-2</v>
      </c>
      <c r="P20" s="3">
        <v>1</v>
      </c>
    </row>
    <row r="21" spans="13:16" x14ac:dyDescent="0.25">
      <c r="M21" s="3" t="s">
        <v>36</v>
      </c>
      <c r="N21" s="3">
        <v>339</v>
      </c>
      <c r="O21" s="3">
        <f t="shared" si="0"/>
        <v>2.9970824860755019</v>
      </c>
      <c r="P21" s="3">
        <v>3</v>
      </c>
    </row>
    <row r="22" spans="13:16" x14ac:dyDescent="0.25">
      <c r="M22" s="3" t="s">
        <v>37</v>
      </c>
      <c r="N22" s="3">
        <v>31</v>
      </c>
      <c r="O22" s="3">
        <f t="shared" si="0"/>
        <v>0.27406948987711077</v>
      </c>
      <c r="P22" s="3">
        <v>5</v>
      </c>
    </row>
    <row r="23" spans="13:16" x14ac:dyDescent="0.25">
      <c r="M23" s="3" t="s">
        <v>38</v>
      </c>
      <c r="N23" s="3">
        <v>95</v>
      </c>
      <c r="O23" s="3">
        <f t="shared" si="0"/>
        <v>0.83989037220404916</v>
      </c>
      <c r="P23" s="3">
        <v>3</v>
      </c>
    </row>
    <row r="24" spans="13:16" x14ac:dyDescent="0.25">
      <c r="M24" s="3" t="s">
        <v>39</v>
      </c>
      <c r="N24" s="3">
        <v>27</v>
      </c>
      <c r="O24" s="3">
        <f t="shared" si="0"/>
        <v>0.23870568473167714</v>
      </c>
      <c r="P24" s="3">
        <v>3</v>
      </c>
    </row>
    <row r="25" spans="13:16" x14ac:dyDescent="0.25">
      <c r="M25" s="3" t="s">
        <v>40</v>
      </c>
      <c r="N25" s="3">
        <v>123</v>
      </c>
      <c r="O25" s="3">
        <f t="shared" si="0"/>
        <v>1.0874370082220848</v>
      </c>
      <c r="P25" s="3">
        <v>2</v>
      </c>
    </row>
    <row r="26" spans="13:16" x14ac:dyDescent="0.25">
      <c r="M26" s="3" t="s">
        <v>41</v>
      </c>
      <c r="N26" s="3">
        <v>185</v>
      </c>
      <c r="O26" s="3">
        <f t="shared" si="0"/>
        <v>1.6355759879763063</v>
      </c>
      <c r="P26" s="3">
        <v>3</v>
      </c>
    </row>
    <row r="27" spans="13:16" x14ac:dyDescent="0.25">
      <c r="M27" s="3" t="s">
        <v>42</v>
      </c>
      <c r="N27" s="3">
        <v>41</v>
      </c>
      <c r="O27" s="3">
        <f t="shared" si="0"/>
        <v>0.36247900274069489</v>
      </c>
      <c r="P27" s="3">
        <v>0</v>
      </c>
    </row>
    <row r="28" spans="13:16" x14ac:dyDescent="0.25">
      <c r="M28" s="3" t="s">
        <v>43</v>
      </c>
      <c r="N28" s="3">
        <v>32</v>
      </c>
      <c r="O28" s="3">
        <f t="shared" si="0"/>
        <v>0.2829104411634692</v>
      </c>
      <c r="P28" s="3">
        <v>0</v>
      </c>
    </row>
    <row r="29" spans="13:16" x14ac:dyDescent="0.25">
      <c r="M29" s="3" t="s">
        <v>44</v>
      </c>
      <c r="N29" s="3">
        <v>40</v>
      </c>
      <c r="O29" s="3">
        <f t="shared" si="0"/>
        <v>0.35363805145433647</v>
      </c>
      <c r="P29" s="3">
        <v>0</v>
      </c>
    </row>
    <row r="30" spans="13:16" x14ac:dyDescent="0.25">
      <c r="M30" s="3" t="s">
        <v>45</v>
      </c>
      <c r="N30" s="3">
        <v>14</v>
      </c>
      <c r="O30" s="3">
        <f t="shared" si="0"/>
        <v>0.12377331800901777</v>
      </c>
      <c r="P30" s="3">
        <v>0</v>
      </c>
    </row>
    <row r="31" spans="13:16" x14ac:dyDescent="0.25">
      <c r="M31" s="3" t="s">
        <v>46</v>
      </c>
      <c r="N31" s="3">
        <v>34</v>
      </c>
      <c r="O31" s="3">
        <f t="shared" si="0"/>
        <v>0.30059234373618604</v>
      </c>
      <c r="P31" s="3">
        <v>0</v>
      </c>
    </row>
    <row r="32" spans="13:16" x14ac:dyDescent="0.25">
      <c r="M32" s="3" t="s">
        <v>47</v>
      </c>
      <c r="N32" s="3">
        <v>9</v>
      </c>
      <c r="O32" s="3">
        <f t="shared" si="0"/>
        <v>7.9568561577225708E-2</v>
      </c>
      <c r="P32" s="3">
        <v>0</v>
      </c>
    </row>
    <row r="33" spans="13:16" x14ac:dyDescent="0.25">
      <c r="M33" s="3" t="s">
        <v>48</v>
      </c>
      <c r="N33" s="3">
        <v>31</v>
      </c>
      <c r="O33" s="3">
        <f t="shared" si="0"/>
        <v>0.27406948987711077</v>
      </c>
      <c r="P33" s="3">
        <v>0</v>
      </c>
    </row>
    <row r="34" spans="13:16" x14ac:dyDescent="0.25">
      <c r="M34" s="3" t="s">
        <v>49</v>
      </c>
      <c r="N34" s="3">
        <v>21</v>
      </c>
      <c r="O34" s="3">
        <f t="shared" si="0"/>
        <v>0.18565997701352666</v>
      </c>
      <c r="P34" s="3">
        <v>0</v>
      </c>
    </row>
    <row r="35" spans="13:16" x14ac:dyDescent="0.25">
      <c r="M35" s="3" t="s">
        <v>50</v>
      </c>
      <c r="N35" s="3">
        <v>7</v>
      </c>
      <c r="O35" s="3">
        <f t="shared" si="0"/>
        <v>6.1886659004508883E-2</v>
      </c>
      <c r="P35" s="3">
        <v>0</v>
      </c>
    </row>
    <row r="36" spans="13:16" x14ac:dyDescent="0.25">
      <c r="M36" s="3" t="s">
        <v>51</v>
      </c>
      <c r="N36" s="3">
        <v>131</v>
      </c>
      <c r="O36" s="3">
        <f t="shared" si="0"/>
        <v>1.1581646185129519</v>
      </c>
      <c r="P36" s="3">
        <v>0</v>
      </c>
    </row>
    <row r="37" spans="13:16" x14ac:dyDescent="0.25">
      <c r="M37" s="3" t="s">
        <v>52</v>
      </c>
      <c r="N37" s="3">
        <v>60</v>
      </c>
      <c r="O37" s="3">
        <f t="shared" si="0"/>
        <v>0.5304570771815047</v>
      </c>
      <c r="P37" s="3">
        <v>0</v>
      </c>
    </row>
    <row r="38" spans="13:16" x14ac:dyDescent="0.25">
      <c r="M38" s="3" t="s">
        <v>53</v>
      </c>
      <c r="N38" s="3">
        <v>14</v>
      </c>
      <c r="O38" s="3">
        <f t="shared" si="0"/>
        <v>0.12377331800901777</v>
      </c>
      <c r="P38" s="3">
        <v>0</v>
      </c>
    </row>
    <row r="39" spans="13:16" x14ac:dyDescent="0.25">
      <c r="M39" s="3" t="s">
        <v>54</v>
      </c>
      <c r="N39" s="3">
        <v>8</v>
      </c>
      <c r="O39" s="3">
        <f t="shared" si="0"/>
        <v>7.0727610290867299E-2</v>
      </c>
      <c r="P39" s="3">
        <v>0</v>
      </c>
    </row>
    <row r="40" spans="13:16" x14ac:dyDescent="0.25">
      <c r="M40" s="3" t="s">
        <v>55</v>
      </c>
      <c r="N40" s="3">
        <v>62</v>
      </c>
      <c r="O40" s="3">
        <f t="shared" si="0"/>
        <v>0.54813897975422154</v>
      </c>
      <c r="P40" s="3">
        <v>0</v>
      </c>
    </row>
    <row r="41" spans="13:16" x14ac:dyDescent="0.25">
      <c r="M41" s="3" t="s">
        <v>13</v>
      </c>
      <c r="N41" s="3">
        <v>5760</v>
      </c>
      <c r="O41" s="3">
        <f t="shared" si="0"/>
        <v>50.923879409424451</v>
      </c>
      <c r="P41" s="8">
        <v>65</v>
      </c>
    </row>
    <row r="42" spans="13:16" x14ac:dyDescent="0.25">
      <c r="M42" s="3" t="s">
        <v>56</v>
      </c>
      <c r="N42" s="3">
        <v>24</v>
      </c>
      <c r="O42" s="3">
        <f t="shared" si="0"/>
        <v>0.2121828308726019</v>
      </c>
      <c r="P42" s="3">
        <v>0</v>
      </c>
    </row>
    <row r="43" spans="13:16" x14ac:dyDescent="0.25">
      <c r="M43" s="3" t="s">
        <v>57</v>
      </c>
      <c r="N43" s="3">
        <v>10</v>
      </c>
      <c r="O43" s="3">
        <f t="shared" si="0"/>
        <v>8.8409512863584117E-2</v>
      </c>
      <c r="P43" s="3">
        <v>0</v>
      </c>
    </row>
    <row r="44" spans="13:16" x14ac:dyDescent="0.25">
      <c r="M44" s="3" t="s">
        <v>58</v>
      </c>
      <c r="N44" s="3">
        <v>27</v>
      </c>
      <c r="O44" s="3">
        <f t="shared" si="0"/>
        <v>0.23870568473167714</v>
      </c>
      <c r="P44" s="3">
        <v>0</v>
      </c>
    </row>
    <row r="45" spans="13:16" x14ac:dyDescent="0.25">
      <c r="M45" s="3" t="s">
        <v>59</v>
      </c>
      <c r="N45" s="3">
        <v>24</v>
      </c>
      <c r="O45" s="3">
        <f t="shared" si="0"/>
        <v>0.2121828308726019</v>
      </c>
      <c r="P45" s="3">
        <v>0</v>
      </c>
    </row>
    <row r="46" spans="13:16" x14ac:dyDescent="0.25">
      <c r="M46" s="3" t="s">
        <v>60</v>
      </c>
      <c r="N46" s="3">
        <v>18</v>
      </c>
      <c r="O46" s="3">
        <f t="shared" si="0"/>
        <v>0.15913712315445142</v>
      </c>
      <c r="P46" s="3">
        <v>0</v>
      </c>
    </row>
    <row r="47" spans="13:16" x14ac:dyDescent="0.25">
      <c r="M47" s="3" t="s">
        <v>61</v>
      </c>
      <c r="N47" s="3">
        <v>20</v>
      </c>
      <c r="O47" s="3">
        <f t="shared" si="0"/>
        <v>0.17681902572716823</v>
      </c>
      <c r="P47" s="3">
        <v>0</v>
      </c>
    </row>
    <row r="48" spans="13:16" x14ac:dyDescent="0.25">
      <c r="M48" s="3" t="s">
        <v>62</v>
      </c>
      <c r="N48" s="3">
        <v>51</v>
      </c>
      <c r="O48" s="3">
        <f t="shared" si="0"/>
        <v>0.45088851560427901</v>
      </c>
      <c r="P48" s="3">
        <v>0</v>
      </c>
    </row>
    <row r="49" spans="13:16" x14ac:dyDescent="0.25">
      <c r="M49" s="3" t="s">
        <v>63</v>
      </c>
      <c r="N49" s="3">
        <v>8</v>
      </c>
      <c r="O49" s="3">
        <f t="shared" si="0"/>
        <v>7.0727610290867299E-2</v>
      </c>
      <c r="P49" s="3">
        <v>0</v>
      </c>
    </row>
    <row r="50" spans="13:16" x14ac:dyDescent="0.25">
      <c r="M50" s="3" t="s">
        <v>64</v>
      </c>
      <c r="N50" s="3">
        <v>3</v>
      </c>
      <c r="O50" s="3">
        <f t="shared" si="0"/>
        <v>2.6522853859075237E-2</v>
      </c>
      <c r="P50" s="3">
        <v>0</v>
      </c>
    </row>
    <row r="51" spans="13:16" x14ac:dyDescent="0.25">
      <c r="M51" s="3" t="s">
        <v>65</v>
      </c>
      <c r="N51" s="3">
        <v>13</v>
      </c>
      <c r="O51" s="3">
        <f t="shared" si="0"/>
        <v>0.11493236672265936</v>
      </c>
      <c r="P51" s="3">
        <v>0</v>
      </c>
    </row>
    <row r="52" spans="13:16" x14ac:dyDescent="0.25">
      <c r="M52" s="3" t="s">
        <v>66</v>
      </c>
      <c r="N52" s="3">
        <v>2</v>
      </c>
      <c r="O52" s="3">
        <f t="shared" si="0"/>
        <v>1.7681902572716825E-2</v>
      </c>
      <c r="P52" s="3">
        <v>0</v>
      </c>
    </row>
    <row r="53" spans="13:16" x14ac:dyDescent="0.25">
      <c r="M53" s="3" t="s">
        <v>67</v>
      </c>
      <c r="N53" s="3">
        <v>12</v>
      </c>
      <c r="O53" s="3">
        <f t="shared" si="0"/>
        <v>0.10609141543630095</v>
      </c>
      <c r="P53" s="3">
        <v>0</v>
      </c>
    </row>
    <row r="54" spans="13:16" x14ac:dyDescent="0.25">
      <c r="M54" s="3" t="s">
        <v>68</v>
      </c>
      <c r="N54" s="3">
        <v>6</v>
      </c>
      <c r="O54" s="3">
        <f t="shared" si="0"/>
        <v>5.3045707718150474E-2</v>
      </c>
      <c r="P54" s="3">
        <v>0</v>
      </c>
    </row>
    <row r="55" spans="13:16" x14ac:dyDescent="0.25">
      <c r="M55" s="3" t="s">
        <v>69</v>
      </c>
      <c r="N55" s="3">
        <v>35</v>
      </c>
      <c r="O55" s="3">
        <f t="shared" si="0"/>
        <v>0.30943329502254441</v>
      </c>
      <c r="P55" s="3">
        <v>0</v>
      </c>
    </row>
    <row r="56" spans="13:16" x14ac:dyDescent="0.25">
      <c r="M56" s="3" t="s">
        <v>70</v>
      </c>
      <c r="N56" s="3">
        <v>104</v>
      </c>
      <c r="O56" s="3">
        <f t="shared" si="0"/>
        <v>0.91945893378127486</v>
      </c>
      <c r="P56" s="3">
        <v>0</v>
      </c>
    </row>
    <row r="57" spans="13:16" x14ac:dyDescent="0.25">
      <c r="M57" s="3" t="s">
        <v>71</v>
      </c>
      <c r="N57" s="3">
        <v>9</v>
      </c>
      <c r="O57" s="3">
        <f t="shared" si="0"/>
        <v>7.9568561577225708E-2</v>
      </c>
      <c r="P57" s="3">
        <v>0</v>
      </c>
    </row>
    <row r="58" spans="13:16" x14ac:dyDescent="0.25">
      <c r="M58" s="3" t="s">
        <v>72</v>
      </c>
      <c r="N58" s="3">
        <v>5</v>
      </c>
      <c r="O58" s="3">
        <f t="shared" si="0"/>
        <v>4.4204756431792058E-2</v>
      </c>
      <c r="P58" s="3">
        <v>0</v>
      </c>
    </row>
    <row r="59" spans="13:16" x14ac:dyDescent="0.25">
      <c r="M59" s="3" t="s">
        <v>73</v>
      </c>
      <c r="N59" s="3">
        <v>0</v>
      </c>
      <c r="O59" s="3">
        <f t="shared" si="0"/>
        <v>0</v>
      </c>
      <c r="P59" s="3">
        <v>0</v>
      </c>
    </row>
    <row r="60" spans="13:16" x14ac:dyDescent="0.25">
      <c r="M60" s="3" t="s">
        <v>74</v>
      </c>
      <c r="N60" s="3">
        <v>0</v>
      </c>
      <c r="O60" s="3">
        <f t="shared" si="0"/>
        <v>0</v>
      </c>
      <c r="P60" s="3">
        <v>0</v>
      </c>
    </row>
    <row r="61" spans="13:16" x14ac:dyDescent="0.25">
      <c r="M61" s="3" t="s">
        <v>75</v>
      </c>
      <c r="N61" s="3">
        <v>0</v>
      </c>
      <c r="O61" s="3">
        <f t="shared" si="0"/>
        <v>0</v>
      </c>
      <c r="P61" s="3">
        <v>0</v>
      </c>
    </row>
    <row r="62" spans="13:16" x14ac:dyDescent="0.25">
      <c r="M62" s="3" t="s">
        <v>76</v>
      </c>
      <c r="N62" s="3">
        <v>11</v>
      </c>
      <c r="O62" s="3">
        <f t="shared" si="0"/>
        <v>9.7250464149942539E-2</v>
      </c>
      <c r="P62" s="3">
        <v>0</v>
      </c>
    </row>
    <row r="63" spans="13:16" x14ac:dyDescent="0.25">
      <c r="M63" s="3" t="s">
        <v>77</v>
      </c>
      <c r="N63" s="3">
        <f>SUM(N3:N62)</f>
        <v>11311</v>
      </c>
      <c r="O63" s="3">
        <f>SUM(O3:O62)</f>
        <v>100</v>
      </c>
      <c r="P63" s="3">
        <f>SUM(P3:P62)</f>
        <v>162</v>
      </c>
    </row>
  </sheetData>
  <mergeCells count="1">
    <mergeCell ref="A1:A5"/>
  </mergeCells>
  <pageMargins left="0.7" right="0.7" top="0.75" bottom="0.75" header="0.3" footer="0.3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workbookViewId="0">
      <selection activeCell="B3" sqref="B3"/>
    </sheetView>
  </sheetViews>
  <sheetFormatPr defaultRowHeight="15" x14ac:dyDescent="0.25"/>
  <cols>
    <col min="1" max="1" width="13.28515625" style="1" customWidth="1"/>
    <col min="2" max="16384" width="9.140625" style="1"/>
  </cols>
  <sheetData>
    <row r="1" spans="1:2" x14ac:dyDescent="0.25">
      <c r="A1" s="1" t="s">
        <v>2</v>
      </c>
      <c r="B1" s="1" t="s">
        <v>3</v>
      </c>
    </row>
    <row r="2" spans="1:2" x14ac:dyDescent="0.25">
      <c r="A2" s="1" t="s">
        <v>2</v>
      </c>
      <c r="B2" s="1" t="s">
        <v>84</v>
      </c>
    </row>
    <row r="3" spans="1:2" x14ac:dyDescent="0.25">
      <c r="B3" s="1" t="s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2026</vt:lpstr>
      <vt:lpstr>ref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2026-04-10T02:49:30Z</dcterms:modified>
</cp:coreProperties>
</file>